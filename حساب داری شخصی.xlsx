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Treasury💰\"/>
    </mc:Choice>
  </mc:AlternateContent>
  <xr:revisionPtr revIDLastSave="0" documentId="13_ncr:1_{58EB486C-6BEF-400B-93FB-5124E0255C06}" xr6:coauthVersionLast="47" xr6:coauthVersionMax="47" xr10:uidLastSave="{00000000-0000-0000-0000-000000000000}"/>
  <bookViews>
    <workbookView xWindow="-110" yWindow="-110" windowWidth="25820" windowHeight="15500" activeTab="6" xr2:uid="{8CFF326C-3C5B-4A79-ACCC-5E55106F8789}"/>
  </bookViews>
  <sheets>
    <sheet name="Cash" sheetId="1" r:id="rId1"/>
    <sheet name="Investment" sheetId="8" r:id="rId2"/>
    <sheet name="Income" sheetId="5" r:id="rId3"/>
    <sheet name="Out" sheetId="2" r:id="rId4"/>
    <sheet name="Demand " sheetId="6" r:id="rId5"/>
    <sheet name="StandBy" sheetId="7" r:id="rId6"/>
    <sheet name="Ballance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C7" i="7"/>
  <c r="C6" i="8" l="1"/>
  <c r="D18" i="8"/>
  <c r="D19" i="8"/>
  <c r="C6" i="7" l="1"/>
  <c r="C15" i="8" l="1"/>
  <c r="C24" i="2"/>
  <c r="C8" i="7"/>
  <c r="C21" i="4" s="1"/>
  <c r="C9" i="6"/>
  <c r="C13" i="4"/>
  <c r="C8" i="5"/>
  <c r="C20" i="4" s="1"/>
  <c r="C15" i="2"/>
  <c r="C5" i="2" s="1"/>
  <c r="C13" i="1"/>
  <c r="C19" i="4" s="1"/>
  <c r="C8" i="4" l="1"/>
  <c r="C15" i="4"/>
  <c r="C6" i="4"/>
  <c r="C12" i="4"/>
  <c r="C8" i="2"/>
  <c r="C14" i="4" s="1"/>
  <c r="C22" i="4" l="1"/>
  <c r="C23" i="4" s="1"/>
  <c r="C7" i="4"/>
  <c r="C9" i="4" s="1"/>
  <c r="C16" i="4"/>
  <c r="I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Akbari</author>
  </authors>
  <commentList>
    <comment ref="B19" authorId="0" shapeId="0" xr:uid="{91D4DECF-0A6C-420D-BF85-D761E555707F}">
      <text>
        <r>
          <rPr>
            <b/>
            <sz val="9"/>
            <color indexed="81"/>
            <rFont val="Tahoma"/>
          </rPr>
          <t>Akbari:</t>
        </r>
        <r>
          <rPr>
            <sz val="9"/>
            <color indexed="81"/>
            <rFont val="Tahoma"/>
          </rPr>
          <t xml:space="preserve">
https://www.tgju.org/profile/gold_mini_size</t>
        </r>
      </text>
    </comment>
  </commentList>
</comments>
</file>

<file path=xl/sharedStrings.xml><?xml version="1.0" encoding="utf-8"?>
<sst xmlns="http://schemas.openxmlformats.org/spreadsheetml/2006/main" count="80" uniqueCount="48">
  <si>
    <t>حساب</t>
  </si>
  <si>
    <t>موجودی</t>
  </si>
  <si>
    <t>بلو</t>
  </si>
  <si>
    <t>ملت</t>
  </si>
  <si>
    <t>رسالت</t>
  </si>
  <si>
    <t>ایزی</t>
  </si>
  <si>
    <t>بن کارت</t>
  </si>
  <si>
    <t>سپه</t>
  </si>
  <si>
    <t>مهر</t>
  </si>
  <si>
    <t>وی پاد</t>
  </si>
  <si>
    <t>صرافی</t>
  </si>
  <si>
    <t>Total</t>
  </si>
  <si>
    <t>کیف</t>
  </si>
  <si>
    <t>قسط</t>
  </si>
  <si>
    <t>قسط بلو</t>
  </si>
  <si>
    <t>قسط رسالت 2</t>
  </si>
  <si>
    <t>مقرض</t>
  </si>
  <si>
    <t>مبلغ</t>
  </si>
  <si>
    <t>موجودی نقد</t>
  </si>
  <si>
    <t>بدهی</t>
  </si>
  <si>
    <t>عنوان</t>
  </si>
  <si>
    <t>موتور مد</t>
  </si>
  <si>
    <t>سربازی</t>
  </si>
  <si>
    <t>منبع</t>
  </si>
  <si>
    <t>درامد ماه</t>
  </si>
  <si>
    <t>باغ بازار</t>
  </si>
  <si>
    <t>استندبای</t>
  </si>
  <si>
    <t>دندان</t>
  </si>
  <si>
    <t>خرج</t>
  </si>
  <si>
    <t>مبغ</t>
  </si>
  <si>
    <t xml:space="preserve">روکش زین </t>
  </si>
  <si>
    <t>باشگاه</t>
  </si>
  <si>
    <t>طلا(21.345g)</t>
  </si>
  <si>
    <t>صندوق طلا</t>
  </si>
  <si>
    <t>میلی</t>
  </si>
  <si>
    <t>PaxG</t>
  </si>
  <si>
    <t>اهرم</t>
  </si>
  <si>
    <t>درامد ثابت</t>
  </si>
  <si>
    <t>بیت کوین</t>
  </si>
  <si>
    <t>قیمت روز طلا</t>
  </si>
  <si>
    <t>بدون فرمول</t>
  </si>
  <si>
    <t>نرخ</t>
  </si>
  <si>
    <t>ست کراسی</t>
  </si>
  <si>
    <t>خرج ماه</t>
  </si>
  <si>
    <t>مانیتور</t>
  </si>
  <si>
    <t>مخارج</t>
  </si>
  <si>
    <t>مخارج مانده</t>
  </si>
  <si>
    <t>حسین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</si>
</sst>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Pinar SemiBold"/>
    </font>
    <font>
      <sz val="9"/>
      <color indexed="81"/>
      <name val="Tahoma"/>
    </font>
    <font>
      <b/>
      <sz val="9"/>
      <color indexed="81"/>
      <name val="Tahoma"/>
    </font>
    <font>
      <sz val="14"/>
      <color theme="9" tint="-0.499984740745262"/>
      <name val="Pinar Semi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3" fontId="1" fillId="0" borderId="0" xfId="0" applyNumberFormat="1" applyFont="1" applyAlignment="1">
      <alignment horizontal="center" vertical="center" readingOrder="1"/>
    </xf>
    <xf numFmtId="3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3" fontId="4" fillId="0" borderId="0" xfId="0" applyNumberFormat="1" applyFont="1" applyAlignment="1">
      <alignment horizontal="center" vertical="center" readingOrder="2"/>
    </xf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1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1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9" tint="-0.499984740745262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9" tint="-0.499984740745262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9" tint="-0.499984740745262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Pinar SemiBold"/>
        <scheme val="none"/>
      </font>
      <numFmt numFmtId="3" formatCode="#,##0"/>
      <alignment horizontal="center" vertical="center" textRotation="0" wrapText="0" indent="0" justifyLastLine="0" shrinkToFit="0" readingOrder="2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741ABD-56D7-4294-87F4-21BEAC9DCC4C}" name="Accounts" displayName="Accounts" ref="B3:C13" totalsRowCount="1" headerRowDxfId="77" dataDxfId="76">
  <autoFilter ref="B3:C12" xr:uid="{74741ABD-56D7-4294-87F4-21BEAC9DCC4C}"/>
  <tableColumns count="2">
    <tableColumn id="1" xr3:uid="{77349045-8B70-46A6-979E-3380E12FFAE1}" name="حساب" totalsRowLabel="Total" dataDxfId="75" totalsRowDxfId="12"/>
    <tableColumn id="2" xr3:uid="{709023DD-3C8F-424D-8C57-F2100FF131F3}" name="موجودی" totalsRowFunction="sum" dataDxfId="74" totalsRow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8090BE-4C96-422A-A06C-E725EE4581C2}" name="Invesments" displayName="Invesments" ref="B5:C15" totalsRowCount="1" headerRowDxfId="73" dataDxfId="72">
  <autoFilter ref="B5:C14" xr:uid="{A9182BDC-352C-4A5B-9970-DE94AD6DC0CD}"/>
  <tableColumns count="2">
    <tableColumn id="1" xr3:uid="{D1B34437-6FC0-4F64-9BB8-14B16F9B6C4F}" name="منبع" totalsRowLabel="Total" dataDxfId="71" totalsRowDxfId="10"/>
    <tableColumn id="2" xr3:uid="{C12DF30F-F53C-4904-96E7-FA63501AC1A4}" name="مبلغ" totalsRowFunction="sum" dataDxfId="70" totalsRowDxfId="9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22766E-3BDE-493A-8B32-913A4B5943E5}" name="LivePrice" displayName="LivePrice" ref="B17:D19" totalsRowShown="0" headerRowDxfId="69" dataDxfId="68">
  <autoFilter ref="B17:D19" xr:uid="{B022766E-3BDE-493A-8B32-913A4B5943E5}"/>
  <tableColumns count="3">
    <tableColumn id="1" xr3:uid="{E7B76E83-EA39-4756-B8E6-41752BF64977}" name="عنوان" dataDxfId="67"/>
    <tableColumn id="3" xr3:uid="{58B0A15E-08E2-4CEA-B5E9-ADCA1B1C9DBD}" name="نرخ" dataDxfId="66"/>
    <tableColumn id="2" xr3:uid="{E78A0E1F-972B-4C2B-A2CC-FB73DE60AAED}" name="مبلغ" dataDxfId="8">
      <calculatedColumnFormula>(740*LivePrice[[#This Row],[نرخ]] )/750*21.345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182BDC-352C-4A5B-9970-DE94AD6DC0CD}" name="Incomes" displayName="Incomes" ref="B5:C8" totalsRowCount="1" headerRowDxfId="65" dataDxfId="64">
  <autoFilter ref="B5:C7" xr:uid="{A9182BDC-352C-4A5B-9970-DE94AD6DC0CD}"/>
  <tableColumns count="2">
    <tableColumn id="1" xr3:uid="{B6C05F3B-5E6B-469C-AB3B-2A59E48E241C}" name="منبع" totalsRowLabel="Total" dataDxfId="63" totalsRowDxfId="62"/>
    <tableColumn id="2" xr3:uid="{C845FD4F-5E58-4487-8AB3-69F298E29162}" name="مبلغ" totalsRowFunction="sum" dataDxfId="61" totalsRow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7313A-3812-48D7-9321-E9DF81800F02}" name="Debts" displayName="Debts" ref="B3:C8" totalsRowCount="1" headerRowDxfId="59" dataDxfId="58">
  <autoFilter ref="B3:C7" xr:uid="{74741ABD-56D7-4294-87F4-21BEAC9DCC4C}"/>
  <tableColumns count="2">
    <tableColumn id="1" xr3:uid="{BA96FE5D-59F5-4C9F-87B5-C8AD250B15D9}" name="حساب" totalsRowLabel="Total" dataDxfId="57" totalsRowDxfId="56"/>
    <tableColumn id="2" xr3:uid="{E7A12493-AC72-4FAA-896E-CAD75D9D92CF}" name="موجودی" totalsRowFunction="sum" dataDxfId="55" totalsRowDxfId="54">
      <calculatedColumnFormula>64000000+8000000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771D74-619D-4F27-B54E-68A845996F5A}" name="Loan" displayName="Loan" ref="B12:C15" totalsRowCount="1" headerRowDxfId="53" dataDxfId="52">
  <autoFilter ref="B12:C14" xr:uid="{20771D74-619D-4F27-B54E-68A845996F5A}"/>
  <sortState xmlns:xlrd2="http://schemas.microsoft.com/office/spreadsheetml/2017/richdata2" ref="B13:C14">
    <sortCondition ref="B12:B14"/>
  </sortState>
  <tableColumns count="2">
    <tableColumn id="1" xr3:uid="{25633EF9-AB85-4425-B16F-A6DED1980320}" name="مقرض" totalsRowLabel="Total" dataDxfId="51" totalsRowDxfId="5"/>
    <tableColumn id="2" xr3:uid="{E96AB7C7-25ED-498C-A09C-7F889066F859}" name="مبلغ" totalsRowFunction="sum" dataDxfId="50" totalsRowDxf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1B39D1-F1B2-4701-95BD-D171FE469EA2}" name="Expences" displayName="Expences" ref="B17:C24" totalsRowCount="1" headerRowDxfId="49" dataDxfId="48">
  <autoFilter ref="B17:C23" xr:uid="{041B39D1-F1B2-4701-95BD-D171FE469EA2}"/>
  <tableColumns count="2">
    <tableColumn id="1" xr3:uid="{FCF12637-1CC4-454C-8E97-CAEE4C8A03B7}" name="خرج" totalsRowLabel="Total" dataDxfId="47" totalsRowDxfId="7"/>
    <tableColumn id="2" xr3:uid="{28016873-62C6-448B-BEBD-23E584A6DE96}" name="مبغ" totalsRowFunction="sum" dataDxfId="46" totalsRowDxfId="6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8B2E9B-9A76-45F4-9439-477178B93EDA}" name="Demands" displayName="Demands" ref="B5:C9" totalsRowCount="1" headerRowDxfId="45" dataDxfId="44">
  <autoFilter ref="B5:C8" xr:uid="{A9182BDC-352C-4A5B-9970-DE94AD6DC0CD}"/>
  <tableColumns count="2">
    <tableColumn id="1" xr3:uid="{2B29ACD2-5C37-4BEC-A2C0-A8743823987F}" name="منبع" totalsRowLabel="Total" dataDxfId="43" totalsRowDxfId="1"/>
    <tableColumn id="2" xr3:uid="{E4D4C49D-A057-41AC-B484-C40A83861671}" name="مبلغ" totalsRowFunction="sum" dataDxfId="42" totalsRow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4995A77-07BB-46A2-B4F3-EFDB7D28E964}" name="Standby" displayName="Standby" ref="B5:C8" totalsRowCount="1" headerRowDxfId="41" dataDxfId="40">
  <autoFilter ref="B5:C7" xr:uid="{A9182BDC-352C-4A5B-9970-DE94AD6DC0CD}"/>
  <tableColumns count="2">
    <tableColumn id="1" xr3:uid="{ADCFDF8C-F9AF-4E66-9CB3-FCDDC302AD15}" name="منبع" totalsRowLabel="Total" dataDxfId="39" totalsRowDxfId="3"/>
    <tableColumn id="2" xr3:uid="{1F58F56A-5B37-4E41-AB32-39D8769DB56C}" name="مبلغ" totalsRowFunction="sum" dataDxfId="38" totalsRowDxf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A43A5A-CD28-4877-855C-828A07BA3A2F}" name="Balance" displayName="Balance" ref="B5:C9" totalsRowCount="1" headerRowDxfId="37" dataDxfId="36">
  <autoFilter ref="B5:C8" xr:uid="{9FA43A5A-CD28-4877-855C-828A07BA3A2F}"/>
  <tableColumns count="2">
    <tableColumn id="1" xr3:uid="{49F765F9-6361-473A-BB35-F7B5BC2DCE94}" name="عنوان" totalsRowLabel="Total" dataDxfId="35" totalsRowDxfId="34"/>
    <tableColumn id="2" xr3:uid="{6D3E4CD1-4336-4EC9-B118-99487FC0B0AF}" name="مبلغ" totalsRowFunction="sum" dataDxfId="33" totalsRowDxfId="32">
      <calculatedColumnFormula>VLOOKUP(Debts[[#Totals],[حساب]],Debts[#All],2,FALSE)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3F2982-2BF2-4F50-84FF-772004748619}" name="MonthBalance" displayName="MonthBalance" ref="B11:C16" totalsRowCount="1" headerRowDxfId="31" dataDxfId="29" totalsRowDxfId="27" headerRowBorderDxfId="30" tableBorderDxfId="28" totalsRowBorderDxfId="26">
  <autoFilter ref="B11:C15" xr:uid="{6B3F2982-2BF2-4F50-84FF-772004748619}"/>
  <tableColumns count="2">
    <tableColumn id="1" xr3:uid="{3BFEBDA3-B5AC-42A1-BCCA-9D0FE1A6E5CC}" name="عنوان" totalsRowLabel="Total" dataDxfId="25" totalsRowDxfId="24"/>
    <tableColumn id="2" xr3:uid="{80738FF2-2B50-4AED-92CD-22EEA0FB5064}" name="مبلغ" totalsRowFunction="sum" dataDxfId="23" totalsRow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EBAF8E5-1AE4-4D79-B900-7B327BD79F48}" name="DreamlyBalance" displayName="DreamlyBalance" ref="B18:C23" totalsRowCount="1" headerRowDxfId="21" dataDxfId="19" headerRowBorderDxfId="20" tableBorderDxfId="18" totalsRowBorderDxfId="17">
  <autoFilter ref="B18:C22" xr:uid="{1EBAF8E5-1AE4-4D79-B900-7B327BD79F48}"/>
  <tableColumns count="2">
    <tableColumn id="1" xr3:uid="{581448AB-E8CA-46B0-B7F5-43A1032FF137}" name="عنوان" totalsRowLabel="Total" dataDxfId="16" totalsRowDxfId="15"/>
    <tableColumn id="2" xr3:uid="{5418ACE5-80FA-41EC-8622-3FF6A03B60DC}" name="مبلغ" totalsRowFunction="sum" dataDxfId="14" totals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DB59-187F-4104-84B0-A051E4D3E5AE}">
  <dimension ref="B3:I13"/>
  <sheetViews>
    <sheetView rightToLeft="1" workbookViewId="0">
      <selection activeCell="C8" sqref="C8"/>
    </sheetView>
  </sheetViews>
  <sheetFormatPr defaultColWidth="12.6328125" defaultRowHeight="27" customHeight="1" x14ac:dyDescent="0.35"/>
  <cols>
    <col min="1" max="1" width="12.6328125" style="1"/>
    <col min="2" max="2" width="18.6328125" style="1" customWidth="1"/>
    <col min="3" max="3" width="30.6328125" style="1" customWidth="1"/>
    <col min="4" max="8" width="12.6328125" style="1"/>
    <col min="9" max="9" width="16.6328125" style="1" bestFit="1" customWidth="1"/>
    <col min="10" max="16384" width="12.6328125" style="1"/>
  </cols>
  <sheetData>
    <row r="3" spans="2:9" ht="27" customHeight="1" x14ac:dyDescent="0.35">
      <c r="B3" s="1" t="s">
        <v>0</v>
      </c>
      <c r="C3" s="1" t="s">
        <v>1</v>
      </c>
    </row>
    <row r="4" spans="2:9" ht="27" customHeight="1" x14ac:dyDescent="0.35">
      <c r="B4" s="1" t="s">
        <v>2</v>
      </c>
      <c r="C4" s="1">
        <v>46000000</v>
      </c>
    </row>
    <row r="5" spans="2:9" ht="27" customHeight="1" x14ac:dyDescent="0.35">
      <c r="B5" s="1" t="s">
        <v>4</v>
      </c>
      <c r="C5" s="1">
        <v>54000000</v>
      </c>
    </row>
    <row r="6" spans="2:9" ht="27" customHeight="1" x14ac:dyDescent="0.35">
      <c r="B6" s="1" t="s">
        <v>3</v>
      </c>
      <c r="C6" s="1">
        <v>12000000</v>
      </c>
    </row>
    <row r="7" spans="2:9" ht="27" customHeight="1" x14ac:dyDescent="0.35">
      <c r="B7" s="1" t="s">
        <v>9</v>
      </c>
      <c r="C7" s="1">
        <v>53000000</v>
      </c>
    </row>
    <row r="8" spans="2:9" ht="27" customHeight="1" x14ac:dyDescent="0.35">
      <c r="B8" s="1" t="s">
        <v>7</v>
      </c>
      <c r="C8" s="1">
        <v>0</v>
      </c>
    </row>
    <row r="9" spans="2:9" ht="27" customHeight="1" x14ac:dyDescent="0.35">
      <c r="B9" s="1" t="s">
        <v>8</v>
      </c>
      <c r="C9" s="1">
        <v>0</v>
      </c>
    </row>
    <row r="10" spans="2:9" ht="27" customHeight="1" x14ac:dyDescent="0.35">
      <c r="B10" s="1" t="s">
        <v>6</v>
      </c>
      <c r="C10" s="1">
        <v>0</v>
      </c>
    </row>
    <row r="11" spans="2:9" ht="27" customHeight="1" x14ac:dyDescent="0.35">
      <c r="B11" s="1" t="s">
        <v>5</v>
      </c>
      <c r="C11" s="1">
        <v>10000000</v>
      </c>
    </row>
    <row r="12" spans="2:9" ht="27" customHeight="1" x14ac:dyDescent="0.35">
      <c r="B12" s="1" t="s">
        <v>10</v>
      </c>
      <c r="C12" s="1">
        <v>0</v>
      </c>
      <c r="I12" s="1">
        <f>VLOOKUP("ملت",Accounts[],2,FALSE)</f>
        <v>12000000</v>
      </c>
    </row>
    <row r="13" spans="2:9" ht="27" customHeight="1" x14ac:dyDescent="0.35">
      <c r="B13" s="2" t="s">
        <v>11</v>
      </c>
      <c r="C13" s="1">
        <f>SUBTOTAL(109,Accounts[موجودی])</f>
        <v>175000000</v>
      </c>
    </row>
  </sheetData>
  <pageMargins left="0.25" right="0.25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43D7-F9ED-482B-B426-062F8E2AFFF3}">
  <dimension ref="B5:D19"/>
  <sheetViews>
    <sheetView rightToLeft="1" zoomScaleNormal="100" workbookViewId="0">
      <selection activeCell="C16" sqref="C16"/>
    </sheetView>
  </sheetViews>
  <sheetFormatPr defaultColWidth="12.6328125" defaultRowHeight="27" customHeight="1" x14ac:dyDescent="0.35"/>
  <cols>
    <col min="1" max="1" width="12.6328125" style="1"/>
    <col min="2" max="2" width="18.6328125" style="1" customWidth="1"/>
    <col min="3" max="3" width="30.6328125" style="1" customWidth="1"/>
    <col min="4" max="4" width="19.7265625" style="1" bestFit="1" customWidth="1"/>
    <col min="5" max="8" width="12.6328125" style="1"/>
    <col min="9" max="9" width="16.6328125" style="1" bestFit="1" customWidth="1"/>
    <col min="10" max="16384" width="12.6328125" style="1"/>
  </cols>
  <sheetData>
    <row r="5" spans="2:3" ht="27" customHeight="1" x14ac:dyDescent="0.35">
      <c r="B5" s="1" t="s">
        <v>23</v>
      </c>
      <c r="C5" s="1" t="s">
        <v>17</v>
      </c>
    </row>
    <row r="6" spans="2:3" ht="27" customHeight="1" x14ac:dyDescent="0.35">
      <c r="B6" s="6" t="s">
        <v>32</v>
      </c>
      <c r="C6" s="6">
        <f>D19</f>
        <v>334228548</v>
      </c>
    </row>
    <row r="7" spans="2:3" ht="27" customHeight="1" x14ac:dyDescent="0.35">
      <c r="B7" s="6" t="s">
        <v>33</v>
      </c>
      <c r="C7" s="6">
        <v>71000000</v>
      </c>
    </row>
    <row r="8" spans="2:3" ht="27" customHeight="1" x14ac:dyDescent="0.35">
      <c r="B8" s="6" t="s">
        <v>34</v>
      </c>
      <c r="C8" s="6">
        <v>0</v>
      </c>
    </row>
    <row r="9" spans="2:3" ht="27" customHeight="1" x14ac:dyDescent="0.35">
      <c r="B9" s="6" t="s">
        <v>35</v>
      </c>
      <c r="C9" s="6">
        <v>5000000</v>
      </c>
    </row>
    <row r="10" spans="2:3" ht="27" customHeight="1" x14ac:dyDescent="0.35">
      <c r="B10" s="6" t="s">
        <v>36</v>
      </c>
      <c r="C10" s="6">
        <v>23000000</v>
      </c>
    </row>
    <row r="11" spans="2:3" ht="27" customHeight="1" x14ac:dyDescent="0.35">
      <c r="B11" s="6" t="s">
        <v>37</v>
      </c>
      <c r="C11" s="6">
        <v>0</v>
      </c>
    </row>
    <row r="12" spans="2:3" ht="27" customHeight="1" x14ac:dyDescent="0.35">
      <c r="B12" s="6" t="s">
        <v>38</v>
      </c>
      <c r="C12" s="6">
        <v>10000000</v>
      </c>
    </row>
    <row r="13" spans="2:3" ht="27" customHeight="1" x14ac:dyDescent="0.35">
      <c r="B13" s="6"/>
      <c r="C13" s="6"/>
    </row>
    <row r="14" spans="2:3" ht="27" customHeight="1" x14ac:dyDescent="0.35">
      <c r="B14" s="6"/>
      <c r="C14" s="6"/>
    </row>
    <row r="15" spans="2:3" ht="27" customHeight="1" x14ac:dyDescent="0.35">
      <c r="B15" s="2" t="s">
        <v>11</v>
      </c>
      <c r="C15" s="1">
        <f>SUBTOTAL(109,Invesments[مبلغ])</f>
        <v>443228548</v>
      </c>
    </row>
    <row r="17" spans="2:4" ht="27" customHeight="1" x14ac:dyDescent="0.35">
      <c r="B17" s="1" t="s">
        <v>20</v>
      </c>
      <c r="C17" s="1" t="s">
        <v>41</v>
      </c>
      <c r="D17" s="1" t="s">
        <v>17</v>
      </c>
    </row>
    <row r="18" spans="2:4" ht="27" customHeight="1" x14ac:dyDescent="0.35">
      <c r="B18" s="1" t="s">
        <v>39</v>
      </c>
      <c r="C18" s="1">
        <v>16085000</v>
      </c>
      <c r="D18" s="1">
        <f>(740*LivePrice[[#This Row],[نرخ]] )/750*21.345</f>
        <v>338756534</v>
      </c>
    </row>
    <row r="19" spans="2:4" ht="27" customHeight="1" x14ac:dyDescent="0.35">
      <c r="B19" s="1" t="s">
        <v>40</v>
      </c>
      <c r="C19" s="1">
        <v>15870000</v>
      </c>
      <c r="D19" s="1">
        <f>(740*LivePrice[[#This Row],[نرخ]] )/750*21.345</f>
        <v>334228548</v>
      </c>
    </row>
  </sheetData>
  <pageMargins left="0.25" right="0.25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F417-EF5E-466C-8232-28915DCDB9FD}">
  <dimension ref="B5:C14"/>
  <sheetViews>
    <sheetView rightToLeft="1" workbookViewId="0">
      <selection activeCell="C7" sqref="C7"/>
    </sheetView>
  </sheetViews>
  <sheetFormatPr defaultColWidth="12.6328125" defaultRowHeight="27" customHeight="1" x14ac:dyDescent="0.35"/>
  <cols>
    <col min="1" max="1" width="12.6328125" style="1"/>
    <col min="2" max="2" width="18.6328125" style="1" customWidth="1"/>
    <col min="3" max="3" width="30.6328125" style="1" customWidth="1"/>
    <col min="4" max="8" width="12.6328125" style="1"/>
    <col min="9" max="9" width="16.6328125" style="1" bestFit="1" customWidth="1"/>
    <col min="10" max="16384" width="12.6328125" style="1"/>
  </cols>
  <sheetData>
    <row r="5" spans="2:3" ht="27" customHeight="1" x14ac:dyDescent="0.35">
      <c r="B5" s="1" t="s">
        <v>23</v>
      </c>
      <c r="C5" s="1" t="s">
        <v>17</v>
      </c>
    </row>
    <row r="6" spans="2:3" ht="27" customHeight="1" x14ac:dyDescent="0.35">
      <c r="B6" s="1" t="s">
        <v>21</v>
      </c>
      <c r="C6" s="1">
        <v>12500000</v>
      </c>
    </row>
    <row r="7" spans="2:3" ht="27" customHeight="1" x14ac:dyDescent="0.35">
      <c r="B7" s="1" t="s">
        <v>22</v>
      </c>
      <c r="C7" s="1">
        <v>6000000</v>
      </c>
    </row>
    <row r="8" spans="2:3" ht="27" customHeight="1" x14ac:dyDescent="0.35">
      <c r="B8" s="2" t="s">
        <v>11</v>
      </c>
      <c r="C8" s="1">
        <f>SUBTOTAL(109,Incomes[مبلغ])</f>
        <v>18500000</v>
      </c>
    </row>
    <row r="14" spans="2:3" ht="27" customHeight="1" x14ac:dyDescent="0.35">
      <c r="B14" s="2"/>
    </row>
  </sheetData>
  <pageMargins left="0.25" right="0.25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5E93-6B92-47C3-8047-DC662E8F0770}">
  <dimension ref="B3:C24"/>
  <sheetViews>
    <sheetView rightToLeft="1" topLeftCell="A9" workbookViewId="0">
      <selection activeCell="C15" sqref="C15"/>
    </sheetView>
  </sheetViews>
  <sheetFormatPr defaultColWidth="12.6328125" defaultRowHeight="27" customHeight="1" x14ac:dyDescent="0.35"/>
  <cols>
    <col min="1" max="1" width="12.6328125" style="1"/>
    <col min="2" max="2" width="18.6328125" style="1" customWidth="1"/>
    <col min="3" max="3" width="30.6328125" style="1" customWidth="1"/>
    <col min="4" max="5" width="12.6328125" style="1"/>
    <col min="6" max="6" width="16.6328125" style="1" bestFit="1" customWidth="1"/>
    <col min="7" max="8" width="12.6328125" style="1"/>
    <col min="9" max="9" width="16.6328125" style="1" bestFit="1" customWidth="1"/>
    <col min="10" max="16384" width="12.6328125" style="1"/>
  </cols>
  <sheetData>
    <row r="3" spans="2:3" ht="27" customHeight="1" x14ac:dyDescent="0.35">
      <c r="B3" s="1" t="s">
        <v>0</v>
      </c>
      <c r="C3" s="1" t="s">
        <v>1</v>
      </c>
    </row>
    <row r="4" spans="2:3" ht="27" customHeight="1" x14ac:dyDescent="0.35">
      <c r="B4" s="1" t="s">
        <v>12</v>
      </c>
      <c r="C4" s="1">
        <v>0</v>
      </c>
    </row>
    <row r="5" spans="2:3" ht="27" customHeight="1" x14ac:dyDescent="0.35">
      <c r="B5" s="1" t="s">
        <v>13</v>
      </c>
      <c r="C5" s="1">
        <f>VLOOKUP(Loan[[#Totals],[مقرض]],Loan[#All],2,FALSE)</f>
        <v>12200000</v>
      </c>
    </row>
    <row r="6" spans="2:3" ht="27" customHeight="1" x14ac:dyDescent="0.35">
      <c r="B6" s="1" t="s">
        <v>43</v>
      </c>
      <c r="C6" s="1">
        <v>0</v>
      </c>
    </row>
    <row r="8" spans="2:3" ht="27" customHeight="1" x14ac:dyDescent="0.35">
      <c r="B8" s="2" t="s">
        <v>11</v>
      </c>
      <c r="C8" s="1">
        <f>SUBTOTAL(109,Debts[موجودی])</f>
        <v>12200000</v>
      </c>
    </row>
    <row r="12" spans="2:3" ht="27" customHeight="1" x14ac:dyDescent="0.35">
      <c r="B12" s="1" t="s">
        <v>16</v>
      </c>
      <c r="C12" s="1" t="s">
        <v>17</v>
      </c>
    </row>
    <row r="13" spans="2:3" ht="27" customHeight="1" x14ac:dyDescent="0.35">
      <c r="B13" s="1" t="s">
        <v>14</v>
      </c>
      <c r="C13" s="1">
        <v>4600000</v>
      </c>
    </row>
    <row r="14" spans="2:3" ht="27" customHeight="1" x14ac:dyDescent="0.35">
      <c r="B14" s="1" t="s">
        <v>15</v>
      </c>
      <c r="C14" s="1">
        <v>7600000</v>
      </c>
    </row>
    <row r="15" spans="2:3" ht="27" customHeight="1" x14ac:dyDescent="0.35">
      <c r="B15" s="2" t="s">
        <v>11</v>
      </c>
      <c r="C15" s="1">
        <f>SUBTOTAL(109,Loan[مبلغ])</f>
        <v>12200000</v>
      </c>
    </row>
    <row r="17" spans="2:3" ht="27" customHeight="1" x14ac:dyDescent="0.35">
      <c r="B17" s="1" t="s">
        <v>28</v>
      </c>
      <c r="C17" s="1" t="s">
        <v>29</v>
      </c>
    </row>
    <row r="18" spans="2:3" ht="27" customHeight="1" x14ac:dyDescent="0.35">
      <c r="B18" s="1" t="s">
        <v>27</v>
      </c>
      <c r="C18" s="1">
        <v>0</v>
      </c>
    </row>
    <row r="19" spans="2:3" ht="27" customHeight="1" x14ac:dyDescent="0.35">
      <c r="B19" s="1" t="s">
        <v>30</v>
      </c>
      <c r="C19" s="1">
        <v>0</v>
      </c>
    </row>
    <row r="20" spans="2:3" ht="27" customHeight="1" x14ac:dyDescent="0.35">
      <c r="B20" s="1" t="s">
        <v>31</v>
      </c>
      <c r="C20" s="1">
        <v>0</v>
      </c>
    </row>
    <row r="21" spans="2:3" ht="27" customHeight="1" x14ac:dyDescent="0.35">
      <c r="B21" s="1" t="s">
        <v>44</v>
      </c>
      <c r="C21" s="1">
        <v>0</v>
      </c>
    </row>
    <row r="24" spans="2:3" ht="27" customHeight="1" x14ac:dyDescent="0.35">
      <c r="B24" s="2" t="s">
        <v>11</v>
      </c>
      <c r="C24" s="1">
        <f>SUBTOTAL(109,Expences[مبغ])</f>
        <v>0</v>
      </c>
    </row>
  </sheetData>
  <pageMargins left="0.25" right="0.25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DCE1-2E51-461B-AE89-5BDBB071977F}">
  <dimension ref="B5:C15"/>
  <sheetViews>
    <sheetView rightToLeft="1" workbookViewId="0">
      <selection activeCell="C7" sqref="C7"/>
    </sheetView>
  </sheetViews>
  <sheetFormatPr defaultColWidth="12.6328125" defaultRowHeight="27" customHeight="1" x14ac:dyDescent="0.35"/>
  <cols>
    <col min="1" max="1" width="12.6328125" style="1"/>
    <col min="2" max="2" width="18.6328125" style="1" customWidth="1"/>
    <col min="3" max="3" width="30.6328125" style="1" customWidth="1"/>
    <col min="4" max="8" width="12.6328125" style="1"/>
    <col min="9" max="9" width="16.6328125" style="1" bestFit="1" customWidth="1"/>
    <col min="10" max="16384" width="12.6328125" style="1"/>
  </cols>
  <sheetData>
    <row r="5" spans="2:3" ht="27" customHeight="1" x14ac:dyDescent="0.35">
      <c r="B5" s="1" t="s">
        <v>23</v>
      </c>
      <c r="C5" s="1" t="s">
        <v>17</v>
      </c>
    </row>
    <row r="6" spans="2:3" ht="27" customHeight="1" x14ac:dyDescent="0.35">
      <c r="B6" s="1" t="s">
        <v>25</v>
      </c>
      <c r="C6" s="1">
        <v>100000000</v>
      </c>
    </row>
    <row r="7" spans="2:3" ht="27" customHeight="1" x14ac:dyDescent="0.35">
      <c r="B7" s="1" t="s">
        <v>47</v>
      </c>
      <c r="C7" s="1">
        <f>50000000-32500000</f>
        <v>17500000</v>
      </c>
    </row>
    <row r="9" spans="2:3" ht="27" customHeight="1" x14ac:dyDescent="0.35">
      <c r="B9" s="2" t="s">
        <v>11</v>
      </c>
      <c r="C9" s="1">
        <f>SUBTOTAL(109,Demands[مبلغ])</f>
        <v>117500000</v>
      </c>
    </row>
    <row r="15" spans="2:3" ht="27" customHeight="1" x14ac:dyDescent="0.35">
      <c r="B15" s="2"/>
    </row>
  </sheetData>
  <pageMargins left="0.25" right="0.25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F2AC-059F-4031-BBFB-4C4505EA9048}">
  <dimension ref="B5:C14"/>
  <sheetViews>
    <sheetView rightToLeft="1" workbookViewId="0">
      <selection activeCell="C8" sqref="C8"/>
    </sheetView>
  </sheetViews>
  <sheetFormatPr defaultColWidth="12.6328125" defaultRowHeight="27" customHeight="1" x14ac:dyDescent="0.35"/>
  <cols>
    <col min="1" max="1" width="12.6328125" style="1"/>
    <col min="2" max="2" width="18.6328125" style="1" customWidth="1"/>
    <col min="3" max="3" width="30.6328125" style="1" customWidth="1"/>
    <col min="4" max="8" width="12.6328125" style="1"/>
    <col min="9" max="9" width="16.6328125" style="1" bestFit="1" customWidth="1"/>
    <col min="10" max="16384" width="12.6328125" style="1"/>
  </cols>
  <sheetData>
    <row r="5" spans="2:3" ht="27" customHeight="1" x14ac:dyDescent="0.35">
      <c r="B5" s="1" t="s">
        <v>23</v>
      </c>
      <c r="C5" s="1" t="s">
        <v>17</v>
      </c>
    </row>
    <row r="6" spans="2:3" ht="27" customHeight="1" x14ac:dyDescent="0.35">
      <c r="B6" s="1" t="s">
        <v>42</v>
      </c>
      <c r="C6" s="1">
        <f>4*7500000</f>
        <v>30000000</v>
      </c>
    </row>
    <row r="7" spans="2:3" ht="27" customHeight="1" x14ac:dyDescent="0.35">
      <c r="B7" s="1" t="s">
        <v>12</v>
      </c>
      <c r="C7" s="1">
        <f>(300-210)*700000</f>
        <v>63000000</v>
      </c>
    </row>
    <row r="8" spans="2:3" ht="27" customHeight="1" x14ac:dyDescent="0.35">
      <c r="B8" s="2" t="s">
        <v>11</v>
      </c>
      <c r="C8" s="1">
        <f>SUBTOTAL(109,Standby[مبلغ])</f>
        <v>93000000</v>
      </c>
    </row>
    <row r="14" spans="2:3" ht="27" customHeight="1" x14ac:dyDescent="0.35">
      <c r="B14" s="2"/>
    </row>
  </sheetData>
  <pageMargins left="0.25" right="0.25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F529-F2CA-40D9-A5C3-9600FC0A0689}">
  <dimension ref="B5:C23"/>
  <sheetViews>
    <sheetView rightToLeft="1" tabSelected="1" workbookViewId="0">
      <selection activeCell="H5" sqref="H5"/>
    </sheetView>
  </sheetViews>
  <sheetFormatPr defaultColWidth="12.6328125" defaultRowHeight="27" customHeight="1" x14ac:dyDescent="0.35"/>
  <cols>
    <col min="1" max="1" width="12.6328125" style="1"/>
    <col min="2" max="2" width="18.6328125" style="1" customWidth="1"/>
    <col min="3" max="3" width="30.6328125" style="3" customWidth="1"/>
    <col min="4" max="8" width="12.6328125" style="1"/>
    <col min="9" max="9" width="16.6328125" style="1" bestFit="1" customWidth="1"/>
    <col min="10" max="16384" width="12.6328125" style="1"/>
  </cols>
  <sheetData>
    <row r="5" spans="2:3" ht="27" customHeight="1" x14ac:dyDescent="0.35">
      <c r="B5" s="1" t="s">
        <v>20</v>
      </c>
      <c r="C5" s="3" t="s">
        <v>17</v>
      </c>
    </row>
    <row r="6" spans="2:3" ht="27" customHeight="1" x14ac:dyDescent="0.35">
      <c r="B6" s="1" t="s">
        <v>18</v>
      </c>
      <c r="C6" s="3">
        <f>VLOOKUP(Accounts[[#Totals],[حساب]],Accounts[#All],2,FALSE)</f>
        <v>175000000</v>
      </c>
    </row>
    <row r="7" spans="2:3" ht="27" customHeight="1" x14ac:dyDescent="0.35">
      <c r="B7" s="1" t="s">
        <v>19</v>
      </c>
      <c r="C7" s="3">
        <f>-VLOOKUP(Debts[[#Totals],[حساب]],Debts[#All],2,FALSE)</f>
        <v>-12200000</v>
      </c>
    </row>
    <row r="8" spans="2:3" ht="27" customHeight="1" x14ac:dyDescent="0.35">
      <c r="B8" s="1" t="s">
        <v>46</v>
      </c>
      <c r="C8" s="3">
        <f>-VLOOKUP(Expences[[#Totals],[خرج]],Expences[#All],2,FALSE)</f>
        <v>0</v>
      </c>
    </row>
    <row r="9" spans="2:3" ht="27" customHeight="1" x14ac:dyDescent="0.35">
      <c r="B9" s="2" t="s">
        <v>11</v>
      </c>
      <c r="C9" s="3">
        <f>SUBTOTAL(109,Balance[مبلغ])</f>
        <v>162800000</v>
      </c>
    </row>
    <row r="11" spans="2:3" ht="27" customHeight="1" x14ac:dyDescent="0.35">
      <c r="B11" s="3" t="s">
        <v>20</v>
      </c>
      <c r="C11" s="3" t="s">
        <v>17</v>
      </c>
    </row>
    <row r="12" spans="2:3" ht="27" customHeight="1" x14ac:dyDescent="0.35">
      <c r="B12" s="3" t="s">
        <v>18</v>
      </c>
      <c r="C12" s="3">
        <f>VLOOKUP(Accounts[[#Totals],[حساب]],Accounts[#All],2,FALSE)</f>
        <v>175000000</v>
      </c>
    </row>
    <row r="13" spans="2:3" ht="27" customHeight="1" x14ac:dyDescent="0.35">
      <c r="B13" s="3" t="s">
        <v>24</v>
      </c>
      <c r="C13" s="3">
        <f>VLOOKUP(Incomes[[#Totals],[منبع]],Incomes[#All],2,FALSE)</f>
        <v>18500000</v>
      </c>
    </row>
    <row r="14" spans="2:3" ht="27" customHeight="1" x14ac:dyDescent="0.35">
      <c r="B14" s="3" t="s">
        <v>19</v>
      </c>
      <c r="C14" s="3">
        <f>-VLOOKUP(Debts[[#Totals],[حساب]],Debts[#All],2,FALSE)</f>
        <v>-12200000</v>
      </c>
    </row>
    <row r="15" spans="2:3" ht="27" customHeight="1" x14ac:dyDescent="0.35">
      <c r="B15" s="3" t="s">
        <v>45</v>
      </c>
      <c r="C15" s="3">
        <f>-VLOOKUP(Expences[[#Totals],[خرج]],Expences[#All],2,FALSE)</f>
        <v>0</v>
      </c>
    </row>
    <row r="16" spans="2:3" ht="27" customHeight="1" x14ac:dyDescent="0.35">
      <c r="B16" s="3" t="s">
        <v>11</v>
      </c>
      <c r="C16" s="3">
        <f>SUBTOTAL(109,MonthBalance[مبلغ])</f>
        <v>181300000</v>
      </c>
    </row>
    <row r="18" spans="2:3" ht="27" customHeight="1" x14ac:dyDescent="0.35">
      <c r="B18" s="3" t="s">
        <v>20</v>
      </c>
      <c r="C18" s="3" t="s">
        <v>17</v>
      </c>
    </row>
    <row r="19" spans="2:3" ht="27" customHeight="1" x14ac:dyDescent="0.35">
      <c r="B19" s="3" t="s">
        <v>18</v>
      </c>
      <c r="C19" s="3">
        <f>VLOOKUP(Accounts[[#Totals],[حساب]],Accounts[#All],2,FALSE)</f>
        <v>175000000</v>
      </c>
    </row>
    <row r="20" spans="2:3" ht="27" customHeight="1" x14ac:dyDescent="0.35">
      <c r="B20" s="3" t="s">
        <v>24</v>
      </c>
      <c r="C20" s="3">
        <f>VLOOKUP(Incomes[[#Totals],[منبع]],Incomes[#All],2,FALSE)</f>
        <v>18500000</v>
      </c>
    </row>
    <row r="21" spans="2:3" ht="27" customHeight="1" x14ac:dyDescent="0.35">
      <c r="B21" s="3" t="s">
        <v>26</v>
      </c>
      <c r="C21" s="3">
        <f>VLOOKUP(Standby[[#Totals],[منبع]],Standby[[#Data],[#Totals]],2,FALSE)</f>
        <v>93000000</v>
      </c>
    </row>
    <row r="22" spans="2:3" ht="27" customHeight="1" x14ac:dyDescent="0.35">
      <c r="B22" s="3" t="s">
        <v>19</v>
      </c>
      <c r="C22" s="3">
        <f>-VLOOKUP(Debts[[#Totals],[حساب]],Debts[#All],2,FALSE)</f>
        <v>-12200000</v>
      </c>
    </row>
    <row r="23" spans="2:3" ht="27" customHeight="1" x14ac:dyDescent="0.35">
      <c r="B23" s="5" t="s">
        <v>11</v>
      </c>
      <c r="C23" s="4">
        <f>SUBTOTAL(109,DreamlyBalance[مبلغ])</f>
        <v>274300000</v>
      </c>
    </row>
  </sheetData>
  <pageMargins left="0.25" right="0.25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Cash</vt:lpstr>
      <vt:lpstr>Investment</vt:lpstr>
      <vt:lpstr>Income</vt:lpstr>
      <vt:lpstr>Out</vt:lpstr>
      <vt:lpstr>Demand </vt:lpstr>
      <vt:lpstr>StandBy</vt:lpstr>
      <vt:lpstr>Ballance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Akbari</dc:creator>
  <cp:lastModifiedBy>AMIr AKBARI</cp:lastModifiedBy>
  <dcterms:created xsi:type="dcterms:W3CDTF">2026-05-20T12:32:26Z</dcterms:created>
  <dcterms:modified xsi:type="dcterms:W3CDTF">2026-06-25T16:56:16Z</dcterms:modified>
</cp:coreProperties>
</file>